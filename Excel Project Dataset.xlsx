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iten Shah\Downloads\"/>
    </mc:Choice>
  </mc:AlternateContent>
  <xr:revisionPtr revIDLastSave="0" documentId="13_ncr:1_{159EAE87-8F4B-492C-B8AA-4E47CA749206}" xr6:coauthVersionLast="47" xr6:coauthVersionMax="47" xr10:uidLastSave="{00000000-0000-0000-0000-000000000000}"/>
  <bookViews>
    <workbookView xWindow="28680" yWindow="-120" windowWidth="29040" windowHeight="15720"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<sst xmlns="http://schemas.openxmlformats.org/spreadsheetml/2006/main" count="16267" uniqueCount="51">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</sst>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8574-4C69-B4BF-A75CE87674C6}"/>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8574-4C69-B4BF-A75CE87674C6}"/>
            </c:ext>
          </c:extLst>
        </c:ser>
        <c:dLbls>
          <c:showLegendKey val="0"/>
          <c:showVal val="0"/>
          <c:showCatName val="0"/>
          <c:showSerName val="0"/>
          <c:showPercent val="0"/>
          <c:showBubbleSize val="0"/>
        </c:dLbls>
        <c:gapWidth val="100"/>
        <c:overlap val="-24"/>
        <c:axId val="559535136"/>
        <c:axId val="559534416"/>
      </c:barChart>
      <c:catAx>
        <c:axId val="5595351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34416"/>
        <c:crosses val="autoZero"/>
        <c:auto val="1"/>
        <c:lblAlgn val="ctr"/>
        <c:lblOffset val="100"/>
        <c:noMultiLvlLbl val="0"/>
      </c:catAx>
      <c:valAx>
        <c:axId val="5595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35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1A0-4BFE-927A-FBCB901F23DC}"/>
            </c:ext>
          </c:extLst>
        </c:ser>
        <c:ser>
          <c:idx val="1"/>
          <c:order val="1"/>
          <c:tx>
            <c:strRef>
              <c:f>'Pivot Table'!$C$19:$C$20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1A0-4BFE-927A-FBCB901F23DC}"/>
            </c:ext>
          </c:extLst>
        </c:ser>
        <c:dLbls>
          <c:showLegendKey val="0"/>
          <c:showVal val="0"/>
          <c:showCatName val="0"/>
          <c:showSerName val="0"/>
          <c:showPercent val="0"/>
          <c:showBubbleSize val="0"/>
        </c:dLbls>
        <c:marker val="1"/>
        <c:smooth val="0"/>
        <c:axId val="549223064"/>
        <c:axId val="549215144"/>
      </c:lineChart>
      <c:catAx>
        <c:axId val="5492230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215144"/>
        <c:crosses val="autoZero"/>
        <c:auto val="1"/>
        <c:lblAlgn val="ctr"/>
        <c:lblOffset val="100"/>
        <c:noMultiLvlLbl val="0"/>
      </c:catAx>
      <c:valAx>
        <c:axId val="549215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223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C19-49EE-8403-D6F900D1C7E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C19-49EE-8403-D6F900D1C7E2}"/>
            </c:ext>
          </c:extLst>
        </c:ser>
        <c:dLbls>
          <c:showLegendKey val="0"/>
          <c:showVal val="0"/>
          <c:showCatName val="0"/>
          <c:showSerName val="0"/>
          <c:showPercent val="0"/>
          <c:showBubbleSize val="0"/>
        </c:dLbls>
        <c:marker val="1"/>
        <c:smooth val="0"/>
        <c:axId val="568846088"/>
        <c:axId val="568837808"/>
      </c:lineChart>
      <c:catAx>
        <c:axId val="568846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37808"/>
        <c:crosses val="autoZero"/>
        <c:auto val="1"/>
        <c:lblAlgn val="ctr"/>
        <c:lblOffset val="100"/>
        <c:noMultiLvlLbl val="0"/>
      </c:catAx>
      <c:valAx>
        <c:axId val="56883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6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687F-4410-A378-4A04C5FC03C4}"/>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687F-4410-A378-4A04C5FC03C4}"/>
            </c:ext>
          </c:extLst>
        </c:ser>
        <c:dLbls>
          <c:showLegendKey val="0"/>
          <c:showVal val="0"/>
          <c:showCatName val="0"/>
          <c:showSerName val="0"/>
          <c:showPercent val="0"/>
          <c:showBubbleSize val="0"/>
        </c:dLbls>
        <c:gapWidth val="100"/>
        <c:overlap val="-24"/>
        <c:axId val="559535136"/>
        <c:axId val="559534416"/>
      </c:barChart>
      <c:catAx>
        <c:axId val="5595351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34416"/>
        <c:crosses val="autoZero"/>
        <c:auto val="1"/>
        <c:lblAlgn val="ctr"/>
        <c:lblOffset val="100"/>
        <c:noMultiLvlLbl val="0"/>
      </c:catAx>
      <c:valAx>
        <c:axId val="5595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35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2D-46E1-98DB-705496754778}"/>
            </c:ext>
          </c:extLst>
        </c:ser>
        <c:ser>
          <c:idx val="1"/>
          <c:order val="1"/>
          <c:tx>
            <c:strRef>
              <c:f>'Pivot Table'!$C$19:$C$20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2D-46E1-98DB-705496754778}"/>
            </c:ext>
          </c:extLst>
        </c:ser>
        <c:dLbls>
          <c:showLegendKey val="0"/>
          <c:showVal val="0"/>
          <c:showCatName val="0"/>
          <c:showSerName val="0"/>
          <c:showPercent val="0"/>
          <c:showBubbleSize val="0"/>
        </c:dLbls>
        <c:marker val="1"/>
        <c:smooth val="0"/>
        <c:axId val="549223064"/>
        <c:axId val="549215144"/>
      </c:lineChart>
      <c:catAx>
        <c:axId val="5492230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215144"/>
        <c:crosses val="autoZero"/>
        <c:auto val="1"/>
        <c:lblAlgn val="ctr"/>
        <c:lblOffset val="100"/>
        <c:noMultiLvlLbl val="0"/>
      </c:catAx>
      <c:valAx>
        <c:axId val="549215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9223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862-4BF0-BDB8-F5313B386E5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862-4BF0-BDB8-F5313B386E58}"/>
            </c:ext>
          </c:extLst>
        </c:ser>
        <c:dLbls>
          <c:showLegendKey val="0"/>
          <c:showVal val="0"/>
          <c:showCatName val="0"/>
          <c:showSerName val="0"/>
          <c:showPercent val="0"/>
          <c:showBubbleSize val="0"/>
        </c:dLbls>
        <c:marker val="1"/>
        <c:smooth val="0"/>
        <c:axId val="568846088"/>
        <c:axId val="568837808"/>
      </c:lineChart>
      <c:catAx>
        <c:axId val="568846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37808"/>
        <c:crosses val="autoZero"/>
        <c:auto val="1"/>
        <c:lblAlgn val="ctr"/>
        <c:lblOffset val="100"/>
        <c:noMultiLvlLbl val="0"/>
      </c:catAx>
      <c:valAx>
        <c:axId val="56883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6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421005</xdr:colOff>
      <xdr:row>0</xdr:row>
      <xdr:rowOff>136207</xdr:rowOff>
    </xdr:from>
    <xdr:to>
      <xdr:col>13</xdr:col>
      <xdr:colOff>116205</xdr:colOff>
      <xdr:row>15</xdr:row>
      <xdr:rowOff>162877</xdr:rowOff>
    </xdr:to>
    <xdr:graphicFrame macro="">
      <xdr:nvGraphicFramePr>
        <xdr:cNvPr id="2" name="Chart 1">
          <a:extLst>
            <a:ext uri="{FF2B5EF4-FFF2-40B4-BE49-F238E27FC236}">
              <a16:creationId xmlns:a16="http://schemas.microsoft.com/office/drawing/2014/main" id="{473017CE-C235-4D9D-A7AE-586E3189C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607695</xdr:colOff>
      <xdr:row>18</xdr:row>
      <xdr:rowOff>69532</xdr:rowOff>
    </xdr:from>
    <xdr:to>
      <xdr:col>13</xdr:col>
      <xdr:colOff>302895</xdr:colOff>
      <xdr:row>33</xdr:row>
      <xdr:rowOff>96202</xdr:rowOff>
    </xdr:to>
    <xdr:graphicFrame macro="">
      <xdr:nvGraphicFramePr>
        <xdr:cNvPr id="3" name="Chart 2">
          <a:extLst>
            <a:ext uri="{FF2B5EF4-FFF2-40B4-BE49-F238E27FC236}">
              <a16:creationId xmlns:a16="http://schemas.microsoft.com/office/drawing/2014/main" id="{E24E5B32-6957-FC00-FCA7-563EEEE9E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569595</xdr:colOff>
      <xdr:row>35</xdr:row>
      <xdr:rowOff>88582</xdr:rowOff>
    </xdr:from>
    <xdr:to>
      <xdr:col>13</xdr:col>
      <xdr:colOff>264795</xdr:colOff>
      <xdr:row>50</xdr:row>
      <xdr:rowOff>115252</xdr:rowOff>
    </xdr:to>
    <xdr:graphicFrame macro="">
      <xdr:nvGraphicFramePr>
        <xdr:cNvPr id="4" name="Chart 3">
          <a:extLst>
            <a:ext uri="{FF2B5EF4-FFF2-40B4-BE49-F238E27FC236}">
              <a16:creationId xmlns:a16="http://schemas.microsoft.com/office/drawing/2014/main" id="{B545EC1F-ED6C-729E-2530-709A0BF93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565784</xdr:colOff>
      <xdr:row>5</xdr:row>
      <xdr:rowOff>20953</xdr:rowOff>
    </xdr:from>
    <xdr:to>
      <xdr:col>9</xdr:col>
      <xdr:colOff>407669</xdr:colOff>
      <xdr:row>25</xdr:row>
      <xdr:rowOff>131444</xdr:rowOff>
    </xdr:to>
    <xdr:graphicFrame macro="">
      <xdr:nvGraphicFramePr>
        <xdr:cNvPr id="3" name="Chart 2">
          <a:extLst>
            <a:ext uri="{FF2B5EF4-FFF2-40B4-BE49-F238E27FC236}">
              <a16:creationId xmlns:a16="http://schemas.microsoft.com/office/drawing/2014/main" id="{185D9293-E262-4953-90FE-ABE3D7DB7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26</xdr:row>
      <xdr:rowOff>17145</xdr:rowOff>
    </xdr:from>
    <xdr:to>
      <xdr:col>16</xdr:col>
      <xdr:colOff>1905</xdr:colOff>
      <xdr:row>41</xdr:row>
      <xdr:rowOff>161925</xdr:rowOff>
    </xdr:to>
    <xdr:graphicFrame macro="">
      <xdr:nvGraphicFramePr>
        <xdr:cNvPr id="4" name="Chart 3">
          <a:extLst>
            <a:ext uri="{FF2B5EF4-FFF2-40B4-BE49-F238E27FC236}">
              <a16:creationId xmlns:a16="http://schemas.microsoft.com/office/drawing/2014/main" id="{DADD6C58-22DC-4FBD-AB49-AC43FCA0E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436244</xdr:colOff>
      <xdr:row>5</xdr:row>
      <xdr:rowOff>20953</xdr:rowOff>
    </xdr:from>
    <xdr:to>
      <xdr:col>15</xdr:col>
      <xdr:colOff>586740</xdr:colOff>
      <xdr:row>25</xdr:row>
      <xdr:rowOff>89534</xdr:rowOff>
    </xdr:to>
    <xdr:graphicFrame macro="">
      <xdr:nvGraphicFramePr>
        <xdr:cNvPr id="5" name="Chart 4">
          <a:extLst>
            <a:ext uri="{FF2B5EF4-FFF2-40B4-BE49-F238E27FC236}">
              <a16:creationId xmlns:a16="http://schemas.microsoft.com/office/drawing/2014/main" id="{BB90859B-BE27-47EF-8813-2583E96CB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xdr:colOff>
      <xdr:row>5</xdr:row>
      <xdr:rowOff>20953</xdr:rowOff>
    </xdr:from>
    <xdr:to>
      <xdr:col>2</xdr:col>
      <xdr:colOff>554355</xdr:colOff>
      <xdr:row>9</xdr:row>
      <xdr:rowOff>169543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B739898-3BE8-2239-97A7-540DE62EDEB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916726"/>
              <a:ext cx="1762972" cy="875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16</xdr:row>
      <xdr:rowOff>64770</xdr:rowOff>
    </xdr:from>
    <xdr:to>
      <xdr:col>2</xdr:col>
      <xdr:colOff>539749</xdr:colOff>
      <xdr:row>25</xdr:row>
      <xdr:rowOff>140970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4805B60-A08C-7A48-D66F-078CFE04D5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299" y="2941532"/>
              <a:ext cx="1655022"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10</xdr:row>
      <xdr:rowOff>0</xdr:rowOff>
    </xdr:from>
    <xdr:to>
      <xdr:col>2</xdr:col>
      <xdr:colOff>552450</xdr:colOff>
      <xdr:row>16</xdr:row>
      <xdr:rowOff>45720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D824DDC-2D3B-A3F6-5AD9-5E8A4595F3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 y="1799167"/>
              <a:ext cx="1757257" cy="112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n Shah" refreshedDate="46194.79342696759" createdVersion="8" refreshedVersion="8" minRefreshableVersion="3" recordCount="1000" xr:uid="{321B309A-B752-4255-B120-A6174BB4FA5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4262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11C69-5606-4EBD-AE36-0BF6B49992E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BBF62-797F-4F78-A61B-564567E144C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87D11-715B-47C2-8719-A565E6925BA4}"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D35ADAE-936B-41B5-B8FC-B9373A865C8D}" sourceName="Marital Status">
  <pivotTables>
    <pivotTable tabId="4" name="PivotTable1"/>
    <pivotTable tabId="4" name="PivotTable2"/>
    <pivotTable tabId="4" name="PivotTable3"/>
  </pivotTables>
  <data>
    <tabular pivotCacheId="1642628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E57D03C-F782-4037-BC06-7B61B9EC3947}" sourceName="Education">
  <pivotTables>
    <pivotTable tabId="4" name="PivotTable1"/>
    <pivotTable tabId="4" name="PivotTable2"/>
    <pivotTable tabId="4" name="PivotTable3"/>
  </pivotTables>
  <data>
    <tabular pivotCacheId="1642628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353C44-523B-4C53-AE9F-13FF63E6A9A3}" sourceName="Region">
  <pivotTables>
    <pivotTable tabId="4" name="PivotTable1"/>
  </pivotTables>
  <data>
    <tabular pivotCacheId="1642628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59960D-FCBA-453C-8838-9791905322F6}" cache="Slicer_Marital_Status" caption="Marital Status" rowHeight="234950"/>
  <slicer name="Education" xr10:uid="{AC6A61DF-D98E-4DBB-90F1-287E3AF638F3}" cache="Slicer_Education" caption="Education" rowHeight="234950"/>
  <slicer name="Region" xr10:uid="{F0A54152-F387-4379-BB48-0F294D0E230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1" sqref="N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F6359-3238-4AF8-B17A-E019FE6F82FB}">
  <dimension ref="A1:N1001"/>
  <sheetViews>
    <sheetView workbookViewId="0">
      <selection activeCell="M2" sqref="M2"/>
    </sheetView>
  </sheetViews>
  <sheetFormatPr defaultColWidth="11.88671875" defaultRowHeight="14.4" x14ac:dyDescent="0.3"/>
  <cols>
    <col min="4" max="4" width="11.88671875" style="6"/>
    <col min="7" max="7" width="13.77734375" bestFit="1" customWidth="1"/>
    <col min="13" max="13" width="12.77734375" customWidth="1"/>
    <col min="14" max="14" width="15.44140625" customWidth="1"/>
  </cols>
  <sheetData>
    <row r="1" spans="1:14" x14ac:dyDescent="0.3">
      <c r="A1" t="s">
        <v>0</v>
      </c>
      <c r="B1" t="s">
        <v>1</v>
      </c>
      <c r="C1" t="s">
        <v>2</v>
      </c>
      <c r="D1" s="6" t="s">
        <v>3</v>
      </c>
      <c r="E1" t="s">
        <v>4</v>
      </c>
      <c r="F1" t="s">
        <v>5</v>
      </c>
      <c r="G1" t="s">
        <v>6</v>
      </c>
      <c r="H1" t="s">
        <v>7</v>
      </c>
      <c r="I1" t="s">
        <v>8</v>
      </c>
      <c r="J1" t="s">
        <v>9</v>
      </c>
      <c r="K1" t="s">
        <v>10</v>
      </c>
      <c r="L1" t="s">
        <v>11</v>
      </c>
      <c r="M1" t="s">
        <v>40</v>
      </c>
      <c r="N1" t="s">
        <v>12</v>
      </c>
    </row>
    <row r="2" spans="1:14" x14ac:dyDescent="0.3">
      <c r="A2">
        <v>12496</v>
      </c>
      <c r="B2" t="s">
        <v>36</v>
      </c>
      <c r="C2" t="s">
        <v>39</v>
      </c>
      <c r="D2" s="6">
        <v>40000</v>
      </c>
      <c r="E2">
        <v>1</v>
      </c>
      <c r="F2" t="s">
        <v>13</v>
      </c>
      <c r="G2" t="s">
        <v>14</v>
      </c>
      <c r="H2" t="s">
        <v>15</v>
      </c>
      <c r="I2">
        <v>0</v>
      </c>
      <c r="J2" t="s">
        <v>16</v>
      </c>
      <c r="K2" t="s">
        <v>17</v>
      </c>
      <c r="L2">
        <v>42</v>
      </c>
      <c r="M2" t="str">
        <f>IF(L2&gt;54, "Old", IF(L2&gt;=31, "Middle Age", IF(L2&lt;31, "Adolescent", "Invalid")))</f>
        <v>Middle Age</v>
      </c>
      <c r="N2" t="s">
        <v>18</v>
      </c>
    </row>
    <row r="3" spans="1:14" x14ac:dyDescent="0.3">
      <c r="A3">
        <v>24107</v>
      </c>
      <c r="B3" t="s">
        <v>36</v>
      </c>
      <c r="C3" t="s">
        <v>38</v>
      </c>
      <c r="D3" s="6">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
      <c r="A4">
        <v>14177</v>
      </c>
      <c r="B4" t="s">
        <v>36</v>
      </c>
      <c r="C4" t="s">
        <v>38</v>
      </c>
      <c r="D4" s="6">
        <v>80000</v>
      </c>
      <c r="E4">
        <v>5</v>
      </c>
      <c r="F4" t="s">
        <v>19</v>
      </c>
      <c r="G4" t="s">
        <v>21</v>
      </c>
      <c r="H4" t="s">
        <v>18</v>
      </c>
      <c r="I4">
        <v>2</v>
      </c>
      <c r="J4" t="s">
        <v>22</v>
      </c>
      <c r="K4" t="s">
        <v>17</v>
      </c>
      <c r="L4">
        <v>60</v>
      </c>
      <c r="M4" t="str">
        <f t="shared" si="0"/>
        <v>Old</v>
      </c>
      <c r="N4" t="s">
        <v>18</v>
      </c>
    </row>
    <row r="5" spans="1:14" x14ac:dyDescent="0.3">
      <c r="A5">
        <v>24381</v>
      </c>
      <c r="B5" t="s">
        <v>37</v>
      </c>
      <c r="C5" t="s">
        <v>38</v>
      </c>
      <c r="D5" s="6">
        <v>70000</v>
      </c>
      <c r="E5">
        <v>0</v>
      </c>
      <c r="F5" t="s">
        <v>13</v>
      </c>
      <c r="G5" t="s">
        <v>21</v>
      </c>
      <c r="H5" t="s">
        <v>15</v>
      </c>
      <c r="I5">
        <v>1</v>
      </c>
      <c r="J5" t="s">
        <v>23</v>
      </c>
      <c r="K5" t="s">
        <v>24</v>
      </c>
      <c r="L5">
        <v>41</v>
      </c>
      <c r="M5" t="str">
        <f t="shared" si="0"/>
        <v>Middle Age</v>
      </c>
      <c r="N5" t="s">
        <v>15</v>
      </c>
    </row>
    <row r="6" spans="1:14" x14ac:dyDescent="0.3">
      <c r="A6">
        <v>25597</v>
      </c>
      <c r="B6" t="s">
        <v>37</v>
      </c>
      <c r="C6" t="s">
        <v>38</v>
      </c>
      <c r="D6" s="6">
        <v>30000</v>
      </c>
      <c r="E6">
        <v>0</v>
      </c>
      <c r="F6" t="s">
        <v>13</v>
      </c>
      <c r="G6" t="s">
        <v>20</v>
      </c>
      <c r="H6" t="s">
        <v>18</v>
      </c>
      <c r="I6">
        <v>0</v>
      </c>
      <c r="J6" t="s">
        <v>16</v>
      </c>
      <c r="K6" t="s">
        <v>17</v>
      </c>
      <c r="L6">
        <v>36</v>
      </c>
      <c r="M6" t="str">
        <f t="shared" si="0"/>
        <v>Middle Age</v>
      </c>
      <c r="N6" t="s">
        <v>15</v>
      </c>
    </row>
    <row r="7" spans="1:14" x14ac:dyDescent="0.3">
      <c r="A7">
        <v>13507</v>
      </c>
      <c r="B7" t="s">
        <v>36</v>
      </c>
      <c r="C7" t="s">
        <v>39</v>
      </c>
      <c r="D7" s="6">
        <v>10000</v>
      </c>
      <c r="E7">
        <v>2</v>
      </c>
      <c r="F7" t="s">
        <v>19</v>
      </c>
      <c r="G7" t="s">
        <v>25</v>
      </c>
      <c r="H7" t="s">
        <v>15</v>
      </c>
      <c r="I7">
        <v>0</v>
      </c>
      <c r="J7" t="s">
        <v>26</v>
      </c>
      <c r="K7" t="s">
        <v>17</v>
      </c>
      <c r="L7">
        <v>50</v>
      </c>
      <c r="M7" t="str">
        <f t="shared" si="0"/>
        <v>Middle Age</v>
      </c>
      <c r="N7" t="s">
        <v>18</v>
      </c>
    </row>
    <row r="8" spans="1:14" x14ac:dyDescent="0.3">
      <c r="A8">
        <v>27974</v>
      </c>
      <c r="B8" t="s">
        <v>37</v>
      </c>
      <c r="C8" t="s">
        <v>38</v>
      </c>
      <c r="D8" s="6">
        <v>160000</v>
      </c>
      <c r="E8">
        <v>2</v>
      </c>
      <c r="F8" t="s">
        <v>27</v>
      </c>
      <c r="G8" t="s">
        <v>28</v>
      </c>
      <c r="H8" t="s">
        <v>15</v>
      </c>
      <c r="I8">
        <v>4</v>
      </c>
      <c r="J8" t="s">
        <v>16</v>
      </c>
      <c r="K8" t="s">
        <v>24</v>
      </c>
      <c r="L8">
        <v>33</v>
      </c>
      <c r="M8" t="str">
        <f t="shared" si="0"/>
        <v>Middle Age</v>
      </c>
      <c r="N8" t="s">
        <v>15</v>
      </c>
    </row>
    <row r="9" spans="1:14" x14ac:dyDescent="0.3">
      <c r="A9">
        <v>19364</v>
      </c>
      <c r="B9" t="s">
        <v>36</v>
      </c>
      <c r="C9" t="s">
        <v>38</v>
      </c>
      <c r="D9" s="6">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6">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6">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6">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6">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6">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6">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6">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6">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6">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6">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6">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6">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6">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6">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6">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6">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6">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6">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6">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6">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6">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6">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6">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6">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6">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6">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6">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6">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6">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6">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6">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6">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6">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6">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6">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6">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6">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6">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6">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6">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6">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6">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6">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6">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6">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6">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6">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6">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6">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6">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6">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6">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6">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6">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6">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6">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6">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6">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36</v>
      </c>
      <c r="C68" t="s">
        <v>39</v>
      </c>
      <c r="D68" s="6">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6">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6">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6">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6">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6">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6">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6">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6">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6">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6">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6">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6">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6">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6">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6">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6">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6">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6">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6">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6">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6">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6">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6">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6">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6">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6">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6">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6">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6">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6">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6">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6">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6">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6">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6">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6">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6">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6">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6">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6">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6">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6">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6">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6">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6">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6">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6">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6">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6">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6">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6">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6">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6">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6">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6">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6">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6">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6">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6">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6">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6">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6">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36</v>
      </c>
      <c r="C132" t="s">
        <v>38</v>
      </c>
      <c r="D132" s="6">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6">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6">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6">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6">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6">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6">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6">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6">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6">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6">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6">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6">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6">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6">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6">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6">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6">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6">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6">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6">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6">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6">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6">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6">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6">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6">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6">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6">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6">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6">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6">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6">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6">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6">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6">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6">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6">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6">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6">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6">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6">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6">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6">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6">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6">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6">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6">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6">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6">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6">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6">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6">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6">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6">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6">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6">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6">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6">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6">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6">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6">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
      <c r="A196">
        <v>17843</v>
      </c>
      <c r="B196" t="s">
        <v>37</v>
      </c>
      <c r="C196" t="s">
        <v>39</v>
      </c>
      <c r="D196" s="6">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6">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6">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6">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6">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6">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6">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6">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6">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6">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6">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6">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6">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6">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6">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6">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6">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6">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6">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6">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6">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6">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6">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6">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6">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6">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6">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6">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6">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6">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6">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6">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6">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6">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6">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6">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6">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6">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6">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6">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6">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6">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6">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6">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6">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6">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6">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6">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6">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6">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6">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6">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6">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6">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6">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6">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6">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6">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6">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6">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6">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6">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6">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6">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37</v>
      </c>
      <c r="C260" t="s">
        <v>39</v>
      </c>
      <c r="D260" s="6">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6">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6">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6">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6">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6">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6">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6">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6">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6">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6">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6">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6">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6">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6">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6">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6">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6">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6">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6">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6">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6">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6">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6">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6">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6">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6">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6">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6">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6">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6">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6">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6">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6">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6">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6">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6">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6">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6">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6">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6">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6">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6">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6">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6">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6">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6">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6">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6">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6">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6">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6">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6">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6">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6">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6">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6">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6">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6">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6">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6">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6">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37</v>
      </c>
      <c r="C324" t="s">
        <v>39</v>
      </c>
      <c r="D324" s="6">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6">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6">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6">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6">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6">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6">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6">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6">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6">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6">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6">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6">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6">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6">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6">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6">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6">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6">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6">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6">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6">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6">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6">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6">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6">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6">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6">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6">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6">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6">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6">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6">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6">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6">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6">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6">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6">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6">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6">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6">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6">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6">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6">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6">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6">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6">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6">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6">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6">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6">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6">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6">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6">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6">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6">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6">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6">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6">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6">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6">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37</v>
      </c>
      <c r="C388" t="s">
        <v>39</v>
      </c>
      <c r="D388" s="6">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6">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6">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6">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6">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6">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6">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6">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6">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6">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6">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6">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6">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6">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6">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6">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6">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6">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6">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6">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6">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6">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6">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6">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6">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6">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6">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6">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6">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6">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6">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6">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6">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6">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6">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6">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6">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6">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6">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6">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6">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6">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6">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6">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6">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6">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6">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6">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6">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6">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6">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6">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6">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6">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6">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6">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6">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6">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6">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6">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6">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6">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37</v>
      </c>
      <c r="C452" t="s">
        <v>39</v>
      </c>
      <c r="D452" s="6">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6">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6">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6">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6">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6">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6">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6">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6">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6">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6">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6">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6">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6">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6">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6">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6">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6">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6">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6">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6">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6">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6">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6">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6">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6">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6">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6">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6">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6">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6">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6">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6">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6">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6">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6">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6">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6">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6">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6">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6">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6">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6">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6">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6">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6">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6">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6">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6">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6">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6">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6">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6">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6">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6">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6">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6">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6">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6">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6">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
      <c r="A516">
        <v>19399</v>
      </c>
      <c r="B516" t="s">
        <v>37</v>
      </c>
      <c r="C516" t="s">
        <v>38</v>
      </c>
      <c r="D516" s="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6">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6">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6">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6">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6">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6">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6">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6">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6">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6">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6">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6">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6">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6">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6">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6">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6">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6">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6">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6">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6">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6">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6">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6">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6">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6">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6">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6">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6">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6">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6">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6">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6">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6">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6">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6">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6">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6">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6">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6">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6">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6">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6">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6">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6">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6">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6">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6">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6">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6">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6">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6">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6">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6">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6">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6">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6">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6">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6">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6">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6">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6">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6">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
      <c r="A580">
        <v>15313</v>
      </c>
      <c r="B580" t="s">
        <v>36</v>
      </c>
      <c r="C580" t="s">
        <v>38</v>
      </c>
      <c r="D580" s="6">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6">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6">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6">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6">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6">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6">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6">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6">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6">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6">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6">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6">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6">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6">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6">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6">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6">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6">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6">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6">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6">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6">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6">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6">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6">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6">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6">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6">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6">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6">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6">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6">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6">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6">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6">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6">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6">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6">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6">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6">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6">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6">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6">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6">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6">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6">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6">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6">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6">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6">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6">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6">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6">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6">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6">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6">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6">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6">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6">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6">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6">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6">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
      <c r="A644">
        <v>21741</v>
      </c>
      <c r="B644" t="s">
        <v>36</v>
      </c>
      <c r="C644" t="s">
        <v>39</v>
      </c>
      <c r="D644" s="6">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6">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6">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6">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6">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6">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6">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6">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6">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6">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6">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6">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6">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6">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6">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6">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6">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6">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6">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6">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6">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6">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6">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6">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6">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6">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6">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6">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6">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6">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6">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6">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6">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6">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6">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6">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6">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6">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6">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6">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6">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6">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6">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6">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6">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6">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6">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6">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6">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6">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6">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6">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6">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6">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6">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6">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6">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6">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6">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6">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6">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6">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
      <c r="A708">
        <v>20296</v>
      </c>
      <c r="B708" t="s">
        <v>37</v>
      </c>
      <c r="C708" t="s">
        <v>39</v>
      </c>
      <c r="D708" s="6">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6">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6">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6">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6">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6">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6">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6">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6">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6">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6">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6">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6">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6">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6">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6">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6">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6">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6">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6">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6">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6">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6">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6">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6">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6">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6">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6">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6">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6">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6">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6">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6">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6">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6">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6">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6">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6">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6">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6">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6">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6">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6">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6">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6">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6">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6">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6">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6">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6">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6">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6">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6">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6">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6">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6">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6">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6">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6">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6">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6">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6">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
      <c r="A772">
        <v>17699</v>
      </c>
      <c r="B772" t="s">
        <v>36</v>
      </c>
      <c r="C772" t="s">
        <v>38</v>
      </c>
      <c r="D772" s="6">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6">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6">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6">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6">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6">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6">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6">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6">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6">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6">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6">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6">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6">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6">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6">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6">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6">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6">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6">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6">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6">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6">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6">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6">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6">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6">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6">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6">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6">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6">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6">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6">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6">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6">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6">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6">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6">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6">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6">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6">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6">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6">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6">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6">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6">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6">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6">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6">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6">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6">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6">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6">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6">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6">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6">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6">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6">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6">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6">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6">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6">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6">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
      <c r="A836">
        <v>19889</v>
      </c>
      <c r="B836" t="s">
        <v>37</v>
      </c>
      <c r="C836" t="s">
        <v>39</v>
      </c>
      <c r="D836" s="6">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6">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6">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6">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6">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6">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6">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6">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6">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6">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6">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6">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6">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6">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6">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6">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6">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6">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6">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6">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6">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6">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6">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6">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6">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6">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6">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6">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6">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6">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6">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6">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6">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6">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6">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6">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6">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6">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6">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6">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6">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6">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6">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6">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6">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6">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6">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6">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6">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6">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6">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6">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6">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6">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6">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6">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6">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6">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6">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6">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6">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6">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6">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6">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
      <c r="A900">
        <v>18066</v>
      </c>
      <c r="B900" t="s">
        <v>37</v>
      </c>
      <c r="C900" t="s">
        <v>38</v>
      </c>
      <c r="D900" s="6">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6">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6">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6">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6">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6">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6">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6">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6">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6">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6">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6">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6">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6">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6">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6">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6">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6">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6">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6">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6">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6">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6">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6">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6">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6">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6">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6">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6">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6">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6">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6">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6">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6">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6">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6">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6">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6">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6">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6">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6">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6">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6">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6">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6">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6">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6">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6">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6">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6">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6">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6">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6">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6">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6">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6">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6">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6">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6">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6">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6">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6">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6">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
      <c r="A964">
        <v>16813</v>
      </c>
      <c r="B964" t="s">
        <v>36</v>
      </c>
      <c r="C964" t="s">
        <v>38</v>
      </c>
      <c r="D964" s="6">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6">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6">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6">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6">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6">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6">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6">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6">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6">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6">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6">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6">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6">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6">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6">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6">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6">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6">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6">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6">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6">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6">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6">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6">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6">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6">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6">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6">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6">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6">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6">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6">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6">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6">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6">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6">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6">
        <v>60000</v>
      </c>
      <c r="E1001">
        <v>3</v>
      </c>
      <c r="F1001" t="s">
        <v>27</v>
      </c>
      <c r="G1001" t="s">
        <v>21</v>
      </c>
      <c r="H1001" t="s">
        <v>15</v>
      </c>
      <c r="I1001">
        <v>2</v>
      </c>
      <c r="J1001" t="s">
        <v>46</v>
      </c>
      <c r="K1001" t="s">
        <v>32</v>
      </c>
      <c r="L1001">
        <v>53</v>
      </c>
      <c r="M1001" t="str">
        <f t="shared" si="15"/>
        <v>Middle Age</v>
      </c>
      <c r="N1001" t="s">
        <v>15</v>
      </c>
    </row>
  </sheetData>
  <autoFilter ref="A1:N1001" xr:uid="{190F6359-3238-4AF8-B17A-E019FE6F82FB}"/>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22CD-415E-45C4-90FC-0552ACE1813D}">
  <dimension ref="A2:D42"/>
  <sheetViews>
    <sheetView topLeftCell="A22" workbookViewId="0">
      <selection activeCell="P47" sqref="P47"/>
    </sheetView>
  </sheetViews>
  <sheetFormatPr defaultRowHeight="14.4" x14ac:dyDescent="0.3"/>
  <cols>
    <col min="1" max="1" width="22.21875" bestFit="1" customWidth="1"/>
    <col min="2" max="2" width="15.77734375" bestFit="1" customWidth="1"/>
    <col min="3" max="3" width="4" bestFit="1" customWidth="1"/>
    <col min="4" max="4" width="11" bestFit="1" customWidth="1"/>
  </cols>
  <sheetData>
    <row r="2" spans="1:4" x14ac:dyDescent="0.3">
      <c r="A2" s="4" t="s">
        <v>43</v>
      </c>
      <c r="B2" s="4" t="s">
        <v>44</v>
      </c>
    </row>
    <row r="3" spans="1:4" x14ac:dyDescent="0.3">
      <c r="A3" s="4" t="s">
        <v>41</v>
      </c>
      <c r="B3" t="s">
        <v>18</v>
      </c>
      <c r="C3" t="s">
        <v>15</v>
      </c>
      <c r="D3" t="s">
        <v>42</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42</v>
      </c>
      <c r="B6" s="3">
        <v>54874.759152215796</v>
      </c>
      <c r="C6" s="3">
        <v>57962.577962577961</v>
      </c>
      <c r="D6" s="3">
        <v>56360</v>
      </c>
    </row>
    <row r="19" spans="1:4" x14ac:dyDescent="0.3">
      <c r="A19" s="4" t="s">
        <v>45</v>
      </c>
      <c r="B19" s="4" t="s">
        <v>44</v>
      </c>
    </row>
    <row r="20" spans="1:4" x14ac:dyDescent="0.3">
      <c r="A20" s="4" t="s">
        <v>41</v>
      </c>
      <c r="B20" t="s">
        <v>18</v>
      </c>
      <c r="C20" t="s">
        <v>15</v>
      </c>
      <c r="D20" t="s">
        <v>42</v>
      </c>
    </row>
    <row r="21" spans="1:4" x14ac:dyDescent="0.3">
      <c r="A21" s="5" t="s">
        <v>16</v>
      </c>
      <c r="B21" s="7">
        <v>166</v>
      </c>
      <c r="C21" s="7">
        <v>200</v>
      </c>
      <c r="D21" s="7">
        <v>366</v>
      </c>
    </row>
    <row r="22" spans="1:4" x14ac:dyDescent="0.3">
      <c r="A22" s="5" t="s">
        <v>26</v>
      </c>
      <c r="B22" s="7">
        <v>92</v>
      </c>
      <c r="C22" s="7">
        <v>77</v>
      </c>
      <c r="D22" s="7">
        <v>169</v>
      </c>
    </row>
    <row r="23" spans="1:4" x14ac:dyDescent="0.3">
      <c r="A23" s="5" t="s">
        <v>22</v>
      </c>
      <c r="B23" s="7">
        <v>67</v>
      </c>
      <c r="C23" s="7">
        <v>95</v>
      </c>
      <c r="D23" s="7">
        <v>162</v>
      </c>
    </row>
    <row r="24" spans="1:4" x14ac:dyDescent="0.3">
      <c r="A24" s="5" t="s">
        <v>23</v>
      </c>
      <c r="B24" s="7">
        <v>116</v>
      </c>
      <c r="C24" s="7">
        <v>76</v>
      </c>
      <c r="D24" s="7">
        <v>192</v>
      </c>
    </row>
    <row r="25" spans="1:4" x14ac:dyDescent="0.3">
      <c r="A25" s="5" t="s">
        <v>46</v>
      </c>
      <c r="B25" s="7">
        <v>78</v>
      </c>
      <c r="C25" s="7">
        <v>33</v>
      </c>
      <c r="D25" s="7">
        <v>111</v>
      </c>
    </row>
    <row r="26" spans="1:4" x14ac:dyDescent="0.3">
      <c r="A26" s="5" t="s">
        <v>42</v>
      </c>
      <c r="B26" s="7">
        <v>519</v>
      </c>
      <c r="C26" s="7">
        <v>481</v>
      </c>
      <c r="D26" s="7">
        <v>1000</v>
      </c>
    </row>
    <row r="37" spans="1:4" x14ac:dyDescent="0.3">
      <c r="A37" s="4" t="s">
        <v>45</v>
      </c>
      <c r="B37" s="4" t="s">
        <v>44</v>
      </c>
    </row>
    <row r="38" spans="1:4" x14ac:dyDescent="0.3">
      <c r="A38" s="4" t="s">
        <v>41</v>
      </c>
      <c r="B38" t="s">
        <v>18</v>
      </c>
      <c r="C38" t="s">
        <v>15</v>
      </c>
      <c r="D38" t="s">
        <v>42</v>
      </c>
    </row>
    <row r="39" spans="1:4" x14ac:dyDescent="0.3">
      <c r="A39" s="5" t="s">
        <v>47</v>
      </c>
      <c r="B39" s="7">
        <v>71</v>
      </c>
      <c r="C39" s="7">
        <v>39</v>
      </c>
      <c r="D39" s="7">
        <v>110</v>
      </c>
    </row>
    <row r="40" spans="1:4" x14ac:dyDescent="0.3">
      <c r="A40" s="5" t="s">
        <v>48</v>
      </c>
      <c r="B40" s="7">
        <v>318</v>
      </c>
      <c r="C40" s="7">
        <v>383</v>
      </c>
      <c r="D40" s="7">
        <v>701</v>
      </c>
    </row>
    <row r="41" spans="1:4" x14ac:dyDescent="0.3">
      <c r="A41" s="5" t="s">
        <v>49</v>
      </c>
      <c r="B41" s="7">
        <v>130</v>
      </c>
      <c r="C41" s="7">
        <v>59</v>
      </c>
      <c r="D41" s="7">
        <v>189</v>
      </c>
    </row>
    <row r="42" spans="1:4" x14ac:dyDescent="0.3">
      <c r="A42" s="5" t="s">
        <v>42</v>
      </c>
      <c r="B42" s="7">
        <v>519</v>
      </c>
      <c r="C42" s="7">
        <v>481</v>
      </c>
      <c r="D42"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9B1D-07B9-4A39-9271-73DC9120A560}">
  <dimension ref="A1:P5"/>
  <sheetViews>
    <sheetView showGridLines="0" tabSelected="1" zoomScale="90" zoomScaleNormal="90" workbookViewId="0">
      <selection activeCell="T21" sqref="T21"/>
    </sheetView>
  </sheetViews>
  <sheetFormatPr defaultRowHeight="14.4" x14ac:dyDescent="0.3"/>
  <sheetData>
    <row r="1" spans="1:16" ht="14.4" customHeight="1" x14ac:dyDescent="0.3">
      <c r="A1" s="8" t="s">
        <v>50</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Hiten Shah</cp:lastModifiedBy>
  <dcterms:created xsi:type="dcterms:W3CDTF">2022-03-18T02:50:57Z</dcterms:created>
  <dcterms:modified xsi:type="dcterms:W3CDTF">2026-06-21T19:14:50Z</dcterms:modified>
</cp:coreProperties>
</file>